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9\"/>
    </mc:Choice>
  </mc:AlternateContent>
  <bookViews>
    <workbookView xWindow="0" yWindow="0" windowWidth="13890" windowHeight="6105" firstSheet="1"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<sst xmlns="http://schemas.openxmlformats.org/spreadsheetml/2006/main" count="138" uniqueCount="79">
  <si>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</si>
  <si>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</si>
  <si>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</si>
  <si>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</si>
  <si>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</si>
  <si>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</si>
  <si>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</si>
  <si>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</si>
  <si>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</si>
  <si>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</si>
  <si>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</si>
  <si>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</si>
  <si>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</si>
  <si>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</si>
  <si>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</si>
  <si>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</si>
  <si>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</si>
  <si>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</si>
  <si>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</si>
  <si>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</si>
  <si>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</si>
  <si>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</si>
  <si>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</si>
  <si>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</si>
  <si>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</si>
  <si>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</si>
  <si>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</si>
  <si>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</si>
  <si>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</si>
  <si>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</si>
  <si>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</si>
  <si>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</si>
  <si>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</si>
  <si>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</si>
  <si>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</si>
  <si>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</si>
  <si>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</si>
  <si>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</si>
  <si>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</si>
  <si>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</si>
  <si>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</si>
  <si>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</si>
  <si>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</si>
  <si>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</si>
  <si>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</si>
  <si>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</si>
  <si>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</si>
  <si>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</si>
  <si>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</si>
  <si>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</si>
  <si>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</si>
  <si>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</si>
  <si>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</si>
  <si>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</si>
  <si>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</si>
  <si>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</si>
  <si>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</si>
  <si>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</si>
  <si>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</si>
  <si>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</si>
  <si>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</si>
  <si>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</si>
  <si>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</si>
  <si>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</si>
  <si>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</si>
  <si>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</si>
  <si>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</si>
  <si>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</si>
  <si>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</si>
  <si>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</si>
  <si>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</si>
  <si>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</si>
  <si>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</si>
  <si>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</si>
  <si>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</si>
  <si>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</si>
  <si>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Gabriel Ignacio Cares Valladares</t>
  </si>
  <si>
    <t>Gabriel Paiva Chapple</t>
  </si>
  <si>
    <t>Matias Hernan Castillo Catrivil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</si>
</sst>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11" fillId="4" borderId="4" xfId="0" applyFont="1" applyFill="1" applyBorder="1" applyAlignment="1">
      <alignment horizontal="center" vertical="center"/>
    </xf>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applyAlignment="1"/>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topLeftCell="A32" zoomScale="120" zoomScaleNormal="120" workbookViewId="0">
      <selection activeCell="C53" sqref="C53"/>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76</v>
      </c>
      <c r="C4" s="5">
        <f>EVALUACION1!$C$21</f>
        <v>6.2</v>
      </c>
      <c r="D4" s="5">
        <f>$C$32</f>
        <v>5.8</v>
      </c>
      <c r="E4" s="6">
        <f>C4*C$2+D4*D$2</f>
        <v>6.1000000000000005</v>
      </c>
      <c r="G4" s="1"/>
    </row>
    <row r="5" spans="1:11">
      <c r="A5" s="4">
        <v>2</v>
      </c>
      <c r="B5" s="27" t="s">
        <v>77</v>
      </c>
      <c r="C5" s="5">
        <f>EVALUACION1!$C$21</f>
        <v>6.2</v>
      </c>
      <c r="D5" s="5">
        <f>C44</f>
        <v>5.8</v>
      </c>
      <c r="E5" s="6">
        <f t="shared" ref="E5:E6" si="0">C5*C$2+D5*D$2</f>
        <v>6.1000000000000005</v>
      </c>
      <c r="G5" s="1"/>
    </row>
    <row r="6" spans="1:11">
      <c r="A6" s="4">
        <v>3</v>
      </c>
      <c r="B6" s="27" t="s">
        <v>78</v>
      </c>
      <c r="C6" s="5">
        <f>EVALUACION1!$C$21</f>
        <v>6.2</v>
      </c>
      <c r="D6" s="5">
        <f>C55</f>
        <v>7</v>
      </c>
      <c r="E6" s="6">
        <f t="shared" si="0"/>
        <v>6.4</v>
      </c>
      <c r="G6" s="1"/>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0"/>
      <c r="B17" s="30" t="str">
        <f>RUBRICA!A9</f>
        <v xml:space="preserve">6. Utiliza correctamente las reglas de redacción, ortografía (literal, puntual, acentual) y las normas para citas y referencias. </v>
      </c>
      <c r="C17" s="28" t="s">
        <v>64</v>
      </c>
      <c r="D17" s="16" t="str">
        <f>IF($C17=CL,"X","")</f>
        <v/>
      </c>
      <c r="E17" s="16" t="str">
        <f>IF(D17="X",100*0.05,"")</f>
        <v/>
      </c>
      <c r="F17" s="16" t="str">
        <f>IF($C17=L,"X","")</f>
        <v>X</v>
      </c>
      <c r="G17" s="16">
        <f>IF(F17="X",60*0.05,"")</f>
        <v>3</v>
      </c>
      <c r="H17" s="16" t="str">
        <f>IF($C17=ML,"X","")</f>
        <v/>
      </c>
      <c r="I17" s="16" t="str">
        <f>IF(H17="X",30*0.05,"")</f>
        <v/>
      </c>
      <c r="J17" s="16" t="str">
        <f>IF($C17=NL,"X","")</f>
        <v/>
      </c>
      <c r="K17" s="16"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64</v>
      </c>
      <c r="D18" s="16" t="str">
        <f>IF($C18=CL,"X","")</f>
        <v/>
      </c>
      <c r="E18" s="16" t="str">
        <f>IF(D18="X",100*0.15,"")</f>
        <v/>
      </c>
      <c r="F18" s="16" t="str">
        <f>IF($C18=L,"X","")</f>
        <v>X</v>
      </c>
      <c r="G18" s="16">
        <f>IF(F18="X",60*0.15,"")</f>
        <v>9</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5"/>
      <c r="B20" s="29" t="s">
        <v>66</v>
      </c>
      <c r="C20" s="33">
        <f>E20+G20+I20+K20</f>
        <v>67</v>
      </c>
      <c r="D20" s="19"/>
      <c r="E20" s="19">
        <f>SUM(E13:E19)</f>
        <v>55</v>
      </c>
      <c r="F20" s="19"/>
      <c r="G20" s="19">
        <f>SUM(G13:G19)</f>
        <v>12</v>
      </c>
      <c r="H20" s="19"/>
      <c r="I20" s="19">
        <f>SUM(I13:I19)</f>
        <v>0</v>
      </c>
      <c r="J20" s="19"/>
      <c r="K20" s="19">
        <f>SUM(K13:K19)</f>
        <v>0</v>
      </c>
    </row>
    <row r="21" spans="1:11" ht="15.75" customHeight="1" outlineLevel="1">
      <c r="A21" s="54"/>
      <c r="B21" s="32" t="s">
        <v>67</v>
      </c>
      <c r="C21" s="20">
        <f>VLOOKUP(C20,ESCALA_IEP!A1:B152,2,FALSE)</f>
        <v>6.2</v>
      </c>
    </row>
    <row r="22" spans="1:11" ht="15.75" customHeight="1"/>
    <row r="23" spans="1:11" ht="15.75" customHeight="1"/>
    <row r="24" spans="1:11" ht="15.75" customHeight="1">
      <c r="A24" s="64" t="s">
        <v>59</v>
      </c>
      <c r="B24" s="53" t="s">
        <v>68</v>
      </c>
      <c r="C24" s="56" t="str">
        <f>$B$4</f>
        <v>Gabriel Ignacio Cares Valladares</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64</v>
      </c>
      <c r="D29" s="16" t="str">
        <f t="shared" si="7"/>
        <v/>
      </c>
      <c r="E29" s="16" t="str">
        <f>IF(D29="X",100*0.1,"")</f>
        <v/>
      </c>
      <c r="F29" s="16" t="str">
        <f t="shared" si="8"/>
        <v>X</v>
      </c>
      <c r="G29" s="16">
        <f>IF(F29="X",60*0.1,"")</f>
        <v>6</v>
      </c>
      <c r="H29" s="16" t="str">
        <f t="shared" si="9"/>
        <v/>
      </c>
      <c r="I29" s="16" t="str">
        <f>IF(H29="X",30*0.1,"")</f>
        <v/>
      </c>
      <c r="J29" s="16" t="str">
        <f t="shared" si="10"/>
        <v/>
      </c>
      <c r="K29" s="16" t="str">
        <f t="shared" si="11"/>
        <v/>
      </c>
    </row>
    <row r="30" spans="1:11" ht="25.9" customHeight="1">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5"/>
      <c r="B31" s="21" t="s">
        <v>70</v>
      </c>
      <c r="C31" s="18">
        <f>E31+G31+I31+K31</f>
        <v>21</v>
      </c>
      <c r="D31" s="19"/>
      <c r="E31" s="19">
        <f>SUM(E28:E30)</f>
        <v>15</v>
      </c>
      <c r="F31" s="19"/>
      <c r="G31" s="19">
        <f>SUM(G28:G30)</f>
        <v>6</v>
      </c>
      <c r="H31" s="19"/>
      <c r="I31" s="19">
        <f>SUM(I28:I30)</f>
        <v>0</v>
      </c>
      <c r="J31" s="19"/>
      <c r="K31" s="19">
        <f>SUM(K29:K30)</f>
        <v>0</v>
      </c>
    </row>
    <row r="32" spans="1:11" ht="15.75" customHeight="1">
      <c r="A32" s="54"/>
      <c r="B32" s="17" t="s">
        <v>67</v>
      </c>
      <c r="C32" s="20">
        <f>VLOOKUP(C31,ESCALA_TRAB_EQUIP!A1:B52,2,FALSE)</f>
        <v>5.8</v>
      </c>
    </row>
    <row r="33" spans="1:11" ht="15.75" customHeight="1">
      <c r="B33" s="22"/>
      <c r="C33" s="23"/>
    </row>
    <row r="34" spans="1:11" ht="15.75" customHeight="1">
      <c r="B34" s="22"/>
      <c r="C34" s="23"/>
    </row>
    <row r="35" spans="1:11" ht="15.75" customHeight="1"/>
    <row r="36" spans="1:11" ht="15.75" customHeight="1">
      <c r="A36" s="64" t="s">
        <v>59</v>
      </c>
      <c r="B36" s="53" t="s">
        <v>68</v>
      </c>
      <c r="C36" s="56" t="str">
        <f>B5</f>
        <v>Gabriel Paiva Chapple</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c r="A42" s="65"/>
      <c r="B42" s="30" t="str">
        <f>RUBRICA!A13</f>
        <v>10. Colaboración y trabajo en equipo *</v>
      </c>
      <c r="C42" s="28" t="s">
        <v>64</v>
      </c>
      <c r="D42" s="16" t="str">
        <f t="shared" si="12"/>
        <v/>
      </c>
      <c r="E42" s="16" t="str">
        <f>IF(D42="X",100*0.1,"")</f>
        <v/>
      </c>
      <c r="F42" s="16" t="str">
        <f t="shared" si="13"/>
        <v>X</v>
      </c>
      <c r="G42" s="16">
        <f>IF(F42="X",60*0.1,"")</f>
        <v>6</v>
      </c>
      <c r="H42" s="16" t="str">
        <f t="shared" si="14"/>
        <v/>
      </c>
      <c r="I42" s="16" t="str">
        <f>IF(H42="X",30*0.1,"")</f>
        <v/>
      </c>
      <c r="J42" s="16" t="str">
        <f t="shared" si="15"/>
        <v/>
      </c>
      <c r="K42" s="16" t="str">
        <f t="shared" si="16"/>
        <v/>
      </c>
    </row>
    <row r="43" spans="1:11" ht="15.75" customHeight="1">
      <c r="A43" s="65"/>
      <c r="B43" s="21" t="s">
        <v>70</v>
      </c>
      <c r="C43" s="18">
        <f>E43+G43+I43+K43</f>
        <v>21</v>
      </c>
      <c r="D43" s="19"/>
      <c r="E43" s="19">
        <f>SUM(E40:E42)</f>
        <v>15</v>
      </c>
      <c r="F43" s="19"/>
      <c r="G43" s="19">
        <f>SUM(G40:G42)</f>
        <v>6</v>
      </c>
      <c r="H43" s="19"/>
      <c r="I43" s="19">
        <f>SUM(I40:I42)</f>
        <v>0</v>
      </c>
      <c r="J43" s="19"/>
      <c r="K43" s="19">
        <f>SUM(K41:K42)</f>
        <v>0</v>
      </c>
    </row>
    <row r="44" spans="1:11" ht="15.75" customHeight="1">
      <c r="A44" s="54"/>
      <c r="B44" s="17" t="s">
        <v>67</v>
      </c>
      <c r="C44" s="20">
        <f>VLOOKUP(C43,ESCALA_TRAB_EQUIP!A1:B52,2,FALSE)</f>
        <v>5.8</v>
      </c>
    </row>
    <row r="45" spans="1:11" ht="15.75" customHeight="1">
      <c r="B45" s="22"/>
      <c r="C45" s="23"/>
    </row>
    <row r="46" spans="1:11" ht="15.75" customHeight="1">
      <c r="B46" s="22"/>
      <c r="C46" s="23"/>
    </row>
    <row r="47" spans="1:11" ht="15.75" customHeight="1">
      <c r="A47" s="64" t="s">
        <v>59</v>
      </c>
      <c r="B47" s="53" t="s">
        <v>68</v>
      </c>
      <c r="C47" s="56" t="str">
        <f>B6</f>
        <v>Matias Hernan Castillo Catrivil</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5"/>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2026-10-26T22:03:43Z</dcterms:modified>
  <cp:category/>
  <cp:contentStatus/>
</cp:coreProperties>
</file>